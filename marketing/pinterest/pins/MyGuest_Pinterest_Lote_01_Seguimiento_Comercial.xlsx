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9cc66a137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 Pinterest" sheetId="1" r:id="R597ac7ce76ce40ee"/>
    <x:sheet xmlns:r="http://schemas.openxmlformats.org/officeDocument/2006/relationships" name="Resumen" sheetId="2" r:id="Rb8b88f64808a4be0"/>
    <x:sheet xmlns:r="http://schemas.openxmlformats.org/officeDocument/2006/relationships" name="Config" sheetId="3" r:id="R6a4a8d57ad01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%"/>
  </x:numFmts>
  <x:fonts count="8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3F1D13"/>
      <x:name val="Carlito"/>
    </x:font>
    <x:font>
      <x:i/>
      <x:sz val="11"/>
      <x:color rgb="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C5538"/>
      </x:patternFill>
    </x:fill>
    <x:fill>
      <x:patternFill patternType="solid">
        <x:fgColor rgb="F7EADF"/>
      </x:patternFill>
    </x:fill>
    <x:fill>
      <x:patternFill patternType="solid">
        <x:fgColor rgb="D98A60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2" fontId="5" fillId="3" borderId="0" xfId="0" applyNumberFormat="1" applyFont="1" applyFill="1" applyBorder="1"/>
    <x:xf numFmtId="202" fontId="5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ont>
        <x:b/>
      </x:font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26bb20b3644a8" /><Relationship Type="http://schemas.openxmlformats.org/officeDocument/2006/relationships/theme" Target="/xl/theme/theme1.xml" Id="R8db452404a7c4025" /><Relationship Type="http://schemas.openxmlformats.org/officeDocument/2006/relationships/sharedStrings" Target="/xl/sharedStrings.xml" Id="R61eca1ceae1e4593" /><Relationship Type="http://schemas.openxmlformats.org/officeDocument/2006/relationships/worksheet" Target="/xl/worksheets/sheet1.xml" Id="R597ac7ce76ce40ee" /><Relationship Type="http://schemas.openxmlformats.org/officeDocument/2006/relationships/worksheet" Target="/xl/worksheets/sheet2.xml" Id="Rb8b88f64808a4be0" /><Relationship Type="http://schemas.openxmlformats.org/officeDocument/2006/relationships/worksheet" Target="/xl/worksheets/sheet3.xml" Id="R6a4a8d57ad014390" /></Relationships>
</file>

<file path=xl/tables/table1.xml><?xml version="1.0" encoding="utf-8"?>
<x:table xmlns:x="http://schemas.openxmlformats.org/spreadsheetml/2006/main" id="1" name="PinterestTracker" displayName="PinterestTracker" ref="A1:S21" headerRowCount="1">
  <x:tableColumns count="19">
    <x:tableColumn id="1" name="Fecha publicación"/>
    <x:tableColumn id="2" name="Pin #"/>
    <x:tableColumn id="3" name="Archivo PNG"/>
    <x:tableColumn id="4" name="Pin/Campaña"/>
    <x:tableColumn id="5" name="Ángulo"/>
    <x:tableColumn id="6" name="Pinterest URL"/>
    <x:tableColumn id="7" name="Landing URL con UTM"/>
    <x:tableColumn id="8" name="Status"/>
    <x:tableColumn id="9" name="Impresiones"/>
    <x:tableColumn id="10" name="Saves"/>
    <x:tableColumn id="11" name="Outbound clicks"/>
    <x:tableColumn id="12" name="Visitas landing"/>
    <x:tableColumn id="13" name="Clics CTA"/>
    <x:tableColumn id="14" name="Leads"/>
    <x:tableColumn id="15" name="Compras"/>
    <x:tableColumn id="16" name="CTR Pinterest"/>
    <x:tableColumn id="17" name="Lead rate"/>
    <x:tableColumn id="18" name="Compra rate"/>
    <x:tableColumn id="19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cadb5d9fe4bf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34" hidden="0" customWidth="1"/>
    <x:col min="4" max="4" width="34" hidden="0" customWidth="1"/>
    <x:col min="5" max="5" width="22" hidden="0" customWidth="1"/>
    <x:col min="6" max="6" width="34" hidden="0" customWidth="1"/>
    <x:col min="7" max="7" width="46" hidden="0" customWidth="1"/>
    <x:col min="8" max="8" width="16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12" hidden="0" customWidth="1"/>
    <x:col min="14" max="14" width="10" hidden="0" customWidth="1"/>
    <x:col min="15" max="15" width="10" hidden="0" customWidth="1"/>
    <x:col min="16" max="16" width="13" hidden="0" customWidth="1"/>
    <x:col min="17" max="17" width="12" hidden="0" customWidth="1"/>
    <x:col min="18" max="18" width="12" hidden="0" customWidth="1"/>
    <x:col min="19" max="19" width="34" hidden="0" customWidth="1"/>
  </x:cols>
  <x:sheetData>
    <x:row r="1" ht="34" customHeight="1">
      <x:c r="A1" s="18" t="str">
        <x:v>Fecha publicación</x:v>
      </x:c>
      <x:c r="B1" s="18" t="str">
        <x:v>Pin #</x:v>
      </x:c>
      <x:c r="C1" s="18" t="str">
        <x:v>Archivo PNG</x:v>
      </x:c>
      <x:c r="D1" s="18" t="str">
        <x:v>Pin/Campaña</x:v>
      </x:c>
      <x:c r="E1" s="18" t="str">
        <x:v>Ángulo</x:v>
      </x:c>
      <x:c r="F1" s="18" t="str">
        <x:v>Pinterest URL</x:v>
      </x:c>
      <x:c r="G1" s="18" t="str">
        <x:v>Landing URL con UTM</x:v>
      </x:c>
      <x:c r="H1" s="18" t="str">
        <x:v>Status</x:v>
      </x:c>
      <x:c r="I1" s="18" t="str">
        <x:v>Impresiones</x:v>
      </x:c>
      <x:c r="J1" s="18" t="str">
        <x:v>Saves</x:v>
      </x:c>
      <x:c r="K1" s="18" t="str">
        <x:v>Outbound clicks</x:v>
      </x:c>
      <x:c r="L1" s="18" t="str">
        <x:v>Visitas landing</x:v>
      </x:c>
      <x:c r="M1" s="18" t="str">
        <x:v>Clics CTA</x:v>
      </x:c>
      <x:c r="N1" s="18" t="str">
        <x:v>Leads</x:v>
      </x:c>
      <x:c r="O1" s="18" t="str">
        <x:v>Compras</x:v>
      </x:c>
      <x:c r="P1" s="18" t="str">
        <x:v>CTR Pinterest</x:v>
      </x:c>
      <x:c r="Q1" s="18" t="str">
        <x:v>Lead rate</x:v>
      </x:c>
      <x:c r="R1" s="18" t="str">
        <x:v>Compra rate</x:v>
      </x:c>
      <x:c r="S1" s="18" t="str">
        <x:v>Observaciones</x:v>
      </x:c>
    </x:row>
    <x:row r="2" ht="42" customHeight="1">
      <x:c r="A2" s="22"/>
      <x:c r="B2" s="19" t="n">
        <x:v>1</x:v>
      </x:c>
      <x:c r="C2" s="19" t="str">
        <x:v>pin-01-stop-guest-questions.png</x:v>
      </x:c>
      <x:c r="D2" s="19" t="str">
        <x:v>Stop answering the same guest questions</x:v>
      </x:c>
      <x:c r="E2" s="19" t="str">
        <x:v>Reducir preguntas repetidas</x:v>
      </x:c>
      <x:c r="F2" s="19" t="str"/>
      <x:c r="G2" s="19" t="str">
        <x:v>https://yuyitov.github.io/MyGuest/?utm_source=pinterest&amp;utm_medium=organic&amp;utm_campaign=mvp_launch&amp;utm_content=stop_guest_questions_01</x:v>
      </x:c>
      <x:c r="H2" s="19" t="str">
        <x:v>Pendiente</x:v>
      </x:c>
      <x:c r="I2" s="24" t="n">
        <x:v>0</x:v>
      </x:c>
      <x:c r="J2" s="24" t="n">
        <x:v>0</x:v>
      </x:c>
      <x:c r="K2" s="24" t="n">
        <x:v>0</x:v>
      </x:c>
      <x:c r="L2" s="24" t="n">
        <x:v>0</x:v>
      </x:c>
      <x:c r="M2" s="24" t="n">
        <x:v>0</x:v>
      </x:c>
      <x:c r="N2" s="24" t="n">
        <x:v>0</x:v>
      </x:c>
      <x:c r="O2" s="24" t="n">
        <x:v>0</x:v>
      </x:c>
      <x:c r="P2" s="26" t="n">
        <x:f>IFERROR(K2/I2,0)</x:f>
        <x:v>0</x:v>
      </x:c>
      <x:c r="Q2" s="26" t="n">
        <x:f>IFERROR(N2/L2,0)</x:f>
        <x:v>0</x:v>
      </x:c>
      <x:c r="R2" s="26" t="n">
        <x:f>IFERROR(O2/L2,0)</x:f>
        <x:v>0</x:v>
      </x:c>
      <x:c r="S2" s="19" t="str"/>
    </x:row>
    <x:row r="3" ht="42" customHeight="1">
      <x:c r="A3" s="22"/>
      <x:c r="B3" s="19" t="n">
        <x:v>2</x:v>
      </x:c>
      <x:c r="C3" s="19" t="str">
        <x:v>pin-02-fewer-repeated-messages.png</x:v>
      </x:c>
      <x:c r="D3" s="19" t="str">
        <x:v>Fewer repeated messages from guests</x:v>
      </x:c>
      <x:c r="E3" s="19" t="str">
        <x:v>Reducir preguntas repetidas</x:v>
      </x:c>
      <x:c r="F3" s="19" t="str"/>
      <x:c r="G3" s="19" t="str">
        <x:v>https://yuyitov.github.io/MyGuest/?utm_source=pinterest&amp;utm_medium=organic&amp;utm_campaign=mvp_launch&amp;utm_content=fewer_repeated_messages_02</x:v>
      </x:c>
      <x:c r="H3" s="19" t="str">
        <x:v>Pendiente</x:v>
      </x:c>
      <x:c r="I3" s="24" t="n">
        <x:v>0</x:v>
      </x:c>
      <x:c r="J3" s="24" t="n">
        <x:v>0</x:v>
      </x:c>
      <x:c r="K3" s="24" t="n">
        <x:v>0</x:v>
      </x:c>
      <x:c r="L3" s="24" t="n">
        <x:v>0</x:v>
      </x:c>
      <x:c r="M3" s="24" t="n">
        <x:v>0</x:v>
      </x:c>
      <x:c r="N3" s="24" t="n">
        <x:v>0</x:v>
      </x:c>
      <x:c r="O3" s="24" t="n">
        <x:v>0</x:v>
      </x:c>
      <x:c r="P3" s="26" t="n">
        <x:f>IFERROR(K3/I3,0)</x:f>
        <x:v>0</x:v>
      </x:c>
      <x:c r="Q3" s="26" t="n">
        <x:f>IFERROR(N3/L3,0)</x:f>
        <x:v>0</x:v>
      </x:c>
      <x:c r="R3" s="26" t="n">
        <x:f>IFERROR(O3/L3,0)</x:f>
        <x:v>0</x:v>
      </x:c>
      <x:c r="S3" s="19" t="str"/>
    </x:row>
    <x:row r="4" ht="42" customHeight="1">
      <x:c r="A4" s="22"/>
      <x:c r="B4" s="19" t="n">
        <x:v>3</x:v>
      </x:c>
      <x:c r="C4" s="19" t="str">
        <x:v>pin-03-answers-before-they-ask.png</x:v>
      </x:c>
      <x:c r="D4" s="19" t="str">
        <x:v>Give guests answers before they ask</x:v>
      </x:c>
      <x:c r="E4" s="19" t="str">
        <x:v>Reducir preguntas repetidas</x:v>
      </x:c>
      <x:c r="F4" s="19" t="str"/>
      <x:c r="G4" s="19" t="str">
        <x:v>https://yuyitov.github.io/MyGuest/?utm_source=pinterest&amp;utm_medium=organic&amp;utm_campaign=mvp_launch&amp;utm_content=answers_before_they_ask_03</x:v>
      </x:c>
      <x:c r="H4" s="19" t="str">
        <x:v>Pendiente</x:v>
      </x:c>
      <x:c r="I4" s="24" t="n">
        <x:v>0</x:v>
      </x:c>
      <x:c r="J4" s="24" t="n">
        <x:v>0</x:v>
      </x:c>
      <x:c r="K4" s="24" t="n">
        <x:v>0</x:v>
      </x:c>
      <x:c r="L4" s="24" t="n">
        <x:v>0</x:v>
      </x:c>
      <x:c r="M4" s="24" t="n">
        <x:v>0</x:v>
      </x:c>
      <x:c r="N4" s="24" t="n">
        <x:v>0</x:v>
      </x:c>
      <x:c r="O4" s="24" t="n">
        <x:v>0</x:v>
      </x:c>
      <x:c r="P4" s="26" t="n">
        <x:f>IFERROR(K4/I4,0)</x:f>
        <x:v>0</x:v>
      </x:c>
      <x:c r="Q4" s="26" t="n">
        <x:f>IFERROR(N4/L4,0)</x:f>
        <x:v>0</x:v>
      </x:c>
      <x:c r="R4" s="26" t="n">
        <x:f>IFERROR(O4/L4,0)</x:f>
        <x:v>0</x:v>
      </x:c>
      <x:c r="S4" s="19" t="str"/>
    </x:row>
    <x:row r="5" ht="42" customHeight="1">
      <x:c r="A5" s="22"/>
      <x:c r="B5" s="19" t="n">
        <x:v>4</x:v>
      </x:c>
      <x:c r="C5" s="19" t="str">
        <x:v>pin-04-guest-info-organized.png</x:v>
      </x:c>
      <x:c r="D5" s="19" t="str">
        <x:v>Your guest info, finally organized</x:v>
      </x:c>
      <x:c r="E5" s="19" t="str">
        <x:v>Organización de información</x:v>
      </x:c>
      <x:c r="F5" s="19" t="str"/>
      <x:c r="G5" s="19" t="str">
        <x:v>https://yuyitov.github.io/MyGuest/?utm_source=pinterest&amp;utm_medium=organic&amp;utm_campaign=mvp_launch&amp;utm_content=guest_info_organized_04</x:v>
      </x:c>
      <x:c r="H5" s="19" t="str">
        <x:v>Pendiente</x:v>
      </x:c>
      <x:c r="I5" s="24" t="n">
        <x:v>0</x:v>
      </x:c>
      <x:c r="J5" s="24" t="n">
        <x:v>0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0</x:v>
      </x:c>
      <x:c r="P5" s="26" t="n">
        <x:f>IFERROR(K5/I5,0)</x:f>
        <x:v>0</x:v>
      </x:c>
      <x:c r="Q5" s="26" t="n">
        <x:f>IFERROR(N5/L5,0)</x:f>
        <x:v>0</x:v>
      </x:c>
      <x:c r="R5" s="26" t="n">
        <x:f>IFERROR(O5/L5,0)</x:f>
        <x:v>0</x:v>
      </x:c>
      <x:c r="S5" s="19" t="str"/>
    </x:row>
    <x:row r="6" ht="42" customHeight="1">
      <x:c r="A6" s="22"/>
      <x:c r="B6" s="19" t="n">
        <x:v>5</x:v>
      </x:c>
      <x:c r="C6" s="19" t="str">
        <x:v>pin-05-mobile-plus-pdf.png</x:v>
      </x:c>
      <x:c r="D6" s="19" t="str">
        <x:v>A mobile guest guide plus a simple printable PDF</x:v>
      </x:c>
      <x:c r="E6" s="19" t="str">
        <x:v>Mobile + PDF</x:v>
      </x:c>
      <x:c r="F6" s="19" t="str"/>
      <x:c r="G6" s="19" t="str">
        <x:v>https://yuyitov.github.io/MyGuest/?utm_source=pinterest&amp;utm_medium=organic&amp;utm_campaign=mvp_launch&amp;utm_content=mobile_plus_pdf_05</x:v>
      </x:c>
      <x:c r="H6" s="19" t="str">
        <x:v>Pendiente</x:v>
      </x:c>
      <x:c r="I6" s="24" t="n">
        <x:v>0</x:v>
      </x:c>
      <x:c r="J6" s="24" t="n">
        <x:v>0</x:v>
      </x:c>
      <x:c r="K6" s="24" t="n">
        <x:v>0</x:v>
      </x:c>
      <x:c r="L6" s="24" t="n">
        <x:v>0</x:v>
      </x:c>
      <x:c r="M6" s="24" t="n">
        <x:v>0</x:v>
      </x:c>
      <x:c r="N6" s="24" t="n">
        <x:v>0</x:v>
      </x:c>
      <x:c r="O6" s="24" t="n">
        <x:v>0</x:v>
      </x:c>
      <x:c r="P6" s="26" t="n">
        <x:f>IFERROR(K6/I6,0)</x:f>
        <x:v>0</x:v>
      </x:c>
      <x:c r="Q6" s="26" t="n">
        <x:f>IFERROR(N6/L6,0)</x:f>
        <x:v>0</x:v>
      </x:c>
      <x:c r="R6" s="26" t="n">
        <x:f>IFERROR(O6/L6,0)</x:f>
        <x:v>0</x:v>
      </x:c>
      <x:c r="S6" s="19" t="str"/>
    </x:row>
    <x:row r="7" ht="42" customHeight="1">
      <x:c r="A7" s="22"/>
      <x:c r="B7" s="19" t="n">
        <x:v>6</x:v>
      </x:c>
      <x:c r="C7" s="19" t="str">
        <x:v>pin-06-easier-to-share.png</x:v>
      </x:c>
      <x:c r="D7" s="19" t="str">
        <x:v>Make your Airbnb welcome info easier to share</x:v>
      </x:c>
      <x:c r="E7" s="19" t="str">
        <x:v>Mobile + PDF</x:v>
      </x:c>
      <x:c r="F7" s="19" t="str"/>
      <x:c r="G7" s="19" t="str">
        <x:v>https://yuyitov.github.io/MyGuest/?utm_source=pinterest&amp;utm_medium=organic&amp;utm_campaign=mvp_launch&amp;utm_content=easier_to_share_06</x:v>
      </x:c>
      <x:c r="H7" s="19" t="str">
        <x:v>Pendiente</x:v>
      </x:c>
      <x:c r="I7" s="24" t="n">
        <x:v>0</x:v>
      </x:c>
      <x:c r="J7" s="24" t="n">
        <x:v>0</x:v>
      </x:c>
      <x:c r="K7" s="24" t="n">
        <x:v>0</x:v>
      </x:c>
      <x:c r="L7" s="24" t="n">
        <x:v>0</x:v>
      </x:c>
      <x:c r="M7" s="24" t="n">
        <x:v>0</x:v>
      </x:c>
      <x:c r="N7" s="24" t="n">
        <x:v>0</x:v>
      </x:c>
      <x:c r="O7" s="24" t="n">
        <x:v>0</x:v>
      </x:c>
      <x:c r="P7" s="26" t="n">
        <x:f>IFERROR(K7/I7,0)</x:f>
        <x:v>0</x:v>
      </x:c>
      <x:c r="Q7" s="26" t="n">
        <x:f>IFERROR(N7/L7,0)</x:f>
        <x:v>0</x:v>
      </x:c>
      <x:c r="R7" s="26" t="n">
        <x:f>IFERROR(O7/L7,0)</x:f>
        <x:v>0</x:v>
      </x:c>
      <x:c r="S7" s="19" t="str"/>
    </x:row>
    <x:row r="8" ht="42" customHeight="1">
      <x:c r="A8" s="22"/>
      <x:c r="B8" s="19" t="n">
        <x:v>7</x:v>
      </x:c>
      <x:c r="C8" s="19" t="str">
        <x:v>pin-07-phone-and-print.png</x:v>
      </x:c>
      <x:c r="D8" s="19" t="str">
        <x:v>One guest guide for phone and print</x:v>
      </x:c>
      <x:c r="E8" s="19" t="str">
        <x:v>Mobile + PDF</x:v>
      </x:c>
      <x:c r="F8" s="19" t="str"/>
      <x:c r="G8" s="19" t="str">
        <x:v>https://yuyitov.github.io/MyGuest/?utm_source=pinterest&amp;utm_medium=organic&amp;utm_campaign=mvp_launch&amp;utm_content=phone_and_print_07</x:v>
      </x:c>
      <x:c r="H8" s="19" t="str">
        <x:v>Pendiente</x:v>
      </x:c>
      <x:c r="I8" s="24" t="n">
        <x:v>0</x:v>
      </x:c>
      <x:c r="J8" s="24" t="n">
        <x:v>0</x:v>
      </x:c>
      <x:c r="K8" s="24" t="n">
        <x:v>0</x:v>
      </x:c>
      <x:c r="L8" s="24" t="n">
        <x:v>0</x:v>
      </x:c>
      <x:c r="M8" s="24" t="n">
        <x:v>0</x:v>
      </x:c>
      <x:c r="N8" s="24" t="n">
        <x:v>0</x:v>
      </x:c>
      <x:c r="O8" s="24" t="n">
        <x:v>0</x:v>
      </x:c>
      <x:c r="P8" s="26" t="n">
        <x:f>IFERROR(K8/I8,0)</x:f>
        <x:v>0</x:v>
      </x:c>
      <x:c r="Q8" s="26" t="n">
        <x:f>IFERROR(N8/L8,0)</x:f>
        <x:v>0</x:v>
      </x:c>
      <x:c r="R8" s="26" t="n">
        <x:f>IFERROR(O8/L8,0)</x:f>
        <x:v>0</x:v>
      </x:c>
      <x:c r="S8" s="19" t="str"/>
    </x:row>
    <x:row r="9" ht="42" customHeight="1">
      <x:c r="A9" s="22"/>
      <x:c r="B9" s="19" t="n">
        <x:v>8</x:v>
      </x:c>
      <x:c r="C9" s="19" t="str">
        <x:v>pin-08-upgrade-guest-instructions.png</x:v>
      </x:c>
      <x:c r="D9" s="19" t="str">
        <x:v>Upgrade your old guest instructions</x:v>
      </x:c>
      <x:c r="E9" s="19" t="str">
        <x:v>Mejorar experiencia</x:v>
      </x:c>
      <x:c r="F9" s="19" t="str"/>
      <x:c r="G9" s="19" t="str">
        <x:v>https://yuyitov.github.io/MyGuest/?utm_source=pinterest&amp;utm_medium=organic&amp;utm_campaign=mvp_launch&amp;utm_content=upgrade_guest_instructions_08</x:v>
      </x:c>
      <x:c r="H9" s="19" t="str">
        <x:v>Pendiente</x:v>
      </x:c>
      <x:c r="I9" s="24" t="n">
        <x:v>0</x:v>
      </x:c>
      <x:c r="J9" s="24" t="n">
        <x:v>0</x:v>
      </x:c>
      <x:c r="K9" s="24" t="n">
        <x:v>0</x:v>
      </x:c>
      <x:c r="L9" s="24" t="n">
        <x:v>0</x:v>
      </x:c>
      <x:c r="M9" s="24" t="n">
        <x:v>0</x:v>
      </x:c>
      <x:c r="N9" s="24" t="n">
        <x:v>0</x:v>
      </x:c>
      <x:c r="O9" s="24" t="n">
        <x:v>0</x:v>
      </x:c>
      <x:c r="P9" s="26" t="n">
        <x:f>IFERROR(K9/I9,0)</x:f>
        <x:v>0</x:v>
      </x:c>
      <x:c r="Q9" s="26" t="n">
        <x:f>IFERROR(N9/L9,0)</x:f>
        <x:v>0</x:v>
      </x:c>
      <x:c r="R9" s="26" t="n">
        <x:f>IFERROR(O9/L9,0)</x:f>
        <x:v>0</x:v>
      </x:c>
      <x:c r="S9" s="19" t="str"/>
    </x:row>
    <x:row r="10" ht="42" customHeight="1">
      <x:c r="A10" s="22"/>
      <x:c r="B10" s="19" t="n">
        <x:v>9</x:v>
      </x:c>
      <x:c r="C10" s="19" t="str">
        <x:v>pin-09-trilingual-guest-guide.png</x:v>
      </x:c>
      <x:c r="D10" s="19" t="str">
        <x:v>A guest guide in English, Spanish, and French</x:v>
      </x:c>
      <x:c r="E10" s="19" t="str">
        <x:v>Trilingüe EN/ES/FR</x:v>
      </x:c>
      <x:c r="F10" s="19" t="str"/>
      <x:c r="G10" s="19" t="str">
        <x:v>https://yuyitov.github.io/MyGuest/?utm_source=pinterest&amp;utm_medium=organic&amp;utm_campaign=mvp_launch&amp;utm_content=trilingual_guest_guide_09</x:v>
      </x:c>
      <x:c r="H10" s="19" t="str">
        <x:v>Pendiente</x:v>
      </x:c>
      <x:c r="I10" s="24" t="n">
        <x:v>0</x:v>
      </x:c>
      <x:c r="J10" s="24" t="n">
        <x:v>0</x:v>
      </x:c>
      <x:c r="K10" s="24" t="n">
        <x:v>0</x:v>
      </x:c>
      <x:c r="L10" s="24" t="n">
        <x:v>0</x:v>
      </x:c>
      <x:c r="M10" s="24" t="n">
        <x:v>0</x:v>
      </x:c>
      <x:c r="N10" s="24" t="n">
        <x:v>0</x:v>
      </x:c>
      <x:c r="O10" s="24" t="n">
        <x:v>0</x:v>
      </x:c>
      <x:c r="P10" s="26" t="n">
        <x:f>IFERROR(K10/I10,0)</x:f>
        <x:v>0</x:v>
      </x:c>
      <x:c r="Q10" s="26" t="n">
        <x:f>IFERROR(N10/L10,0)</x:f>
        <x:v>0</x:v>
      </x:c>
      <x:c r="R10" s="26" t="n">
        <x:f>IFERROR(O10/L10,0)</x:f>
        <x:v>0</x:v>
      </x:c>
      <x:c r="S10" s="19" t="str"/>
    </x:row>
    <x:row r="11" ht="42" customHeight="1">
      <x:c r="A11" s="22"/>
      <x:c r="B11" s="19" t="n">
        <x:v>10</x:v>
      </x:c>
      <x:c r="C11" s="19" t="str">
        <x:v>pin-10-guest-clarity-languages.png</x:v>
      </x:c>
      <x:c r="D11" s="19" t="str">
        <x:v>Help more guests understand your stay details</x:v>
      </x:c>
      <x:c r="E11" s="19" t="str">
        <x:v>Trilingüe EN/ES/FR</x:v>
      </x:c>
      <x:c r="F11" s="19" t="str"/>
      <x:c r="G11" s="19" t="str">
        <x:v>https://yuyitov.github.io/MyGuest/?utm_source=pinterest&amp;utm_medium=organic&amp;utm_campaign=mvp_launch&amp;utm_content=guest_clarity_languages_10</x:v>
      </x:c>
      <x:c r="H11" s="19" t="str">
        <x:v>Pendiente</x:v>
      </x:c>
      <x:c r="I11" s="24" t="n">
        <x:v>0</x:v>
      </x:c>
      <x:c r="J11" s="24" t="n">
        <x:v>0</x:v>
      </x:c>
      <x:c r="K11" s="24" t="n">
        <x:v>0</x:v>
      </x:c>
      <x:c r="L11" s="24" t="n">
        <x:v>0</x:v>
      </x:c>
      <x:c r="M11" s="24" t="n">
        <x:v>0</x:v>
      </x:c>
      <x:c r="N11" s="24" t="n">
        <x:v>0</x:v>
      </x:c>
      <x:c r="O11" s="24" t="n">
        <x:v>0</x:v>
      </x:c>
      <x:c r="P11" s="26" t="n">
        <x:f>IFERROR(K11/I11,0)</x:f>
        <x:v>0</x:v>
      </x:c>
      <x:c r="Q11" s="26" t="n">
        <x:f>IFERROR(N11/L11,0)</x:f>
        <x:v>0</x:v>
      </x:c>
      <x:c r="R11" s="26" t="n">
        <x:f>IFERROR(O11/L11,0)</x:f>
        <x:v>0</x:v>
      </x:c>
      <x:c r="S11" s="19" t="str"/>
    </x:row>
    <x:row r="12" ht="42" customHeight="1">
      <x:c r="A12" s="22"/>
      <x:c r="B12" s="19" t="n">
        <x:v>11</x:v>
      </x:c>
      <x:c r="C12" s="19" t="str">
        <x:v>pin-11-international-guest-confidence.png</x:v>
      </x:c>
      <x:c r="D12" s="19" t="str">
        <x:v>Welcome international guests with more confidence</x:v>
      </x:c>
      <x:c r="E12" s="19" t="str">
        <x:v>Trilingüe EN/ES/FR</x:v>
      </x:c>
      <x:c r="F12" s="19" t="str"/>
      <x:c r="G12" s="19" t="str">
        <x:v>https://yuyitov.github.io/MyGuest/?utm_source=pinterest&amp;utm_medium=organic&amp;utm_campaign=mvp_launch&amp;utm_content=international_guest_confidence_11</x:v>
      </x:c>
      <x:c r="H12" s="19" t="str">
        <x:v>Pendiente</x:v>
      </x:c>
      <x:c r="I12" s="24" t="n">
        <x:v>0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n">
        <x:v>0</x:v>
      </x:c>
      <x:c r="O12" s="24" t="n">
        <x:v>0</x:v>
      </x:c>
      <x:c r="P12" s="26" t="n">
        <x:f>IFERROR(K12/I12,0)</x:f>
        <x:v>0</x:v>
      </x:c>
      <x:c r="Q12" s="26" t="n">
        <x:f>IFERROR(N12/L12,0)</x:f>
        <x:v>0</x:v>
      </x:c>
      <x:c r="R12" s="26" t="n">
        <x:f>IFERROR(O12/L12,0)</x:f>
        <x:v>0</x:v>
      </x:c>
      <x:c r="S12" s="19" t="str"/>
    </x:row>
    <x:row r="13" ht="42" customHeight="1">
      <x:c r="A13" s="22"/>
      <x:c r="B13" s="19" t="n">
        <x:v>12</x:v>
      </x:c>
      <x:c r="C13" s="19" t="str">
        <x:v>pin-12-airbnb-guide-three-languages.png</x:v>
      </x:c>
      <x:c r="D13" s="19" t="str">
        <x:v>Your Airbnb guide, translated for more guests</x:v>
      </x:c>
      <x:c r="E13" s="19" t="str">
        <x:v>Trilingüe EN/ES/FR</x:v>
      </x:c>
      <x:c r="F13" s="19" t="str"/>
      <x:c r="G13" s="19" t="str">
        <x:v>https://yuyitov.github.io/MyGuest/?utm_source=pinterest&amp;utm_medium=organic&amp;utm_campaign=mvp_launch&amp;utm_content=airbnb_guide_three_languages_12</x:v>
      </x:c>
      <x:c r="H13" s="19" t="str">
        <x:v>Pendiente</x:v>
      </x:c>
      <x:c r="I13" s="24" t="n">
        <x:v>0</x:v>
      </x:c>
      <x:c r="J13" s="24" t="n">
        <x:v>0</x:v>
      </x:c>
      <x:c r="K13" s="24" t="n">
        <x:v>0</x:v>
      </x:c>
      <x:c r="L13" s="24" t="n">
        <x:v>0</x:v>
      </x:c>
      <x:c r="M13" s="24" t="n">
        <x:v>0</x:v>
      </x:c>
      <x:c r="N13" s="24" t="n">
        <x:v>0</x:v>
      </x:c>
      <x:c r="O13" s="24" t="n">
        <x:v>0</x:v>
      </x:c>
      <x:c r="P13" s="26" t="n">
        <x:f>IFERROR(K13/I13,0)</x:f>
        <x:v>0</x:v>
      </x:c>
      <x:c r="Q13" s="26" t="n">
        <x:f>IFERROR(N13/L13,0)</x:f>
        <x:v>0</x:v>
      </x:c>
      <x:c r="R13" s="26" t="n">
        <x:f>IFERROR(O13/L13,0)</x:f>
        <x:v>0</x:v>
      </x:c>
      <x:c r="S13" s="19" t="str"/>
    </x:row>
    <x:row r="14" ht="42" customHeight="1">
      <x:c r="A14" s="22"/>
      <x:c r="B14" s="19" t="n">
        <x:v>13</x:v>
      </x:c>
      <x:c r="C14" s="19" t="str">
        <x:v>pin-13-no-website-needed.png</x:v>
      </x:c>
      <x:c r="D14" s="19" t="str">
        <x:v>A cleaner guest guide without building a website</x:v>
      </x:c>
      <x:c r="E14" s="19" t="str">
        <x:v>Sin construir website</x:v>
      </x:c>
      <x:c r="F14" s="19" t="str"/>
      <x:c r="G14" s="19" t="str">
        <x:v>https://yuyitov.github.io/MyGuest/?utm_source=pinterest&amp;utm_medium=organic&amp;utm_campaign=mvp_launch&amp;utm_content=no_website_needed_13</x:v>
      </x:c>
      <x:c r="H14" s="19" t="str">
        <x:v>Pendiente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v>0</x:v>
      </x:c>
      <x:c r="O14" s="24" t="n">
        <x:v>0</x:v>
      </x:c>
      <x:c r="P14" s="26" t="n">
        <x:f>IFERROR(K14/I14,0)</x:f>
        <x:v>0</x:v>
      </x:c>
      <x:c r="Q14" s="26" t="n">
        <x:f>IFERROR(N14/L14,0)</x:f>
        <x:v>0</x:v>
      </x:c>
      <x:c r="R14" s="26" t="n">
        <x:f>IFERROR(O14/L14,0)</x:f>
        <x:v>0</x:v>
      </x:c>
      <x:c r="S14" s="19" t="str"/>
    </x:row>
    <x:row r="15" ht="42" customHeight="1">
      <x:c r="A15" s="22"/>
      <x:c r="B15" s="19" t="n">
        <x:v>14</x:v>
      </x:c>
      <x:c r="C15" s="19" t="str">
        <x:v>pin-14-digital-welcome-book-form.png</x:v>
      </x:c>
      <x:c r="D15" s="19" t="str">
        <x:v>Create a digital welcome book from a simple form</x:v>
      </x:c>
      <x:c r="E15" s="19" t="str">
        <x:v>Formulario simple</x:v>
      </x:c>
      <x:c r="F15" s="19" t="str"/>
      <x:c r="G15" s="19" t="str">
        <x:v>https://yuyitov.github.io/MyGuest/?utm_source=pinterest&amp;utm_medium=organic&amp;utm_campaign=mvp_launch&amp;utm_content=digital_welcome_book_form_14</x:v>
      </x:c>
      <x:c r="H15" s="19" t="str">
        <x:v>Pendiente</x:v>
      </x:c>
      <x:c r="I15" s="24" t="n">
        <x:v>0</x:v>
      </x:c>
      <x:c r="J15" s="24" t="n">
        <x:v>0</x:v>
      </x:c>
      <x:c r="K15" s="24" t="n">
        <x:v>0</x:v>
      </x:c>
      <x:c r="L15" s="24" t="n">
        <x:v>0</x:v>
      </x:c>
      <x:c r="M15" s="24" t="n">
        <x:v>0</x:v>
      </x:c>
      <x:c r="N15" s="24" t="n">
        <x:v>0</x:v>
      </x:c>
      <x:c r="O15" s="24" t="n">
        <x:v>0</x:v>
      </x:c>
      <x:c r="P15" s="26" t="n">
        <x:f>IFERROR(K15/I15,0)</x:f>
        <x:v>0</x:v>
      </x:c>
      <x:c r="Q15" s="26" t="n">
        <x:f>IFERROR(N15/L15,0)</x:f>
        <x:v>0</x:v>
      </x:c>
      <x:c r="R15" s="26" t="n">
        <x:f>IFERROR(O15/L15,0)</x:f>
        <x:v>0</x:v>
      </x:c>
      <x:c r="S15" s="19" t="str"/>
    </x:row>
    <x:row r="16" ht="42" customHeight="1">
      <x:c r="A16" s="22"/>
      <x:c r="B16" s="19" t="n">
        <x:v>15</x:v>
      </x:c>
      <x:c r="C16" s="19" t="str">
        <x:v>pin-15-premium-rental-feel.png</x:v>
      </x:c>
      <x:c r="D16" s="19" t="str">
        <x:v>Make your rental feel more premium</x:v>
      </x:c>
      <x:c r="E16" s="19" t="str">
        <x:v>Premium feel</x:v>
      </x:c>
      <x:c r="F16" s="19" t="str"/>
      <x:c r="G16" s="19" t="str">
        <x:v>https://yuyitov.github.io/MyGuest/?utm_source=pinterest&amp;utm_medium=organic&amp;utm_campaign=mvp_launch&amp;utm_content=premium_rental_feel_15</x:v>
      </x:c>
      <x:c r="H16" s="19" t="str">
        <x:v>Pendiente</x:v>
      </x:c>
      <x:c r="I16" s="24" t="n">
        <x:v>0</x:v>
      </x:c>
      <x:c r="J16" s="24" t="n">
        <x:v>0</x:v>
      </x:c>
      <x:c r="K16" s="24" t="n">
        <x:v>0</x:v>
      </x:c>
      <x:c r="L16" s="24" t="n">
        <x:v>0</x:v>
      </x:c>
      <x:c r="M16" s="24" t="n">
        <x:v>0</x:v>
      </x:c>
      <x:c r="N16" s="24" t="n">
        <x:v>0</x:v>
      </x:c>
      <x:c r="O16" s="24" t="n">
        <x:v>0</x:v>
      </x:c>
      <x:c r="P16" s="26" t="n">
        <x:f>IFERROR(K16/I16,0)</x:f>
        <x:v>0</x:v>
      </x:c>
      <x:c r="Q16" s="26" t="n">
        <x:f>IFERROR(N16/L16,0)</x:f>
        <x:v>0</x:v>
      </x:c>
      <x:c r="R16" s="26" t="n">
        <x:f>IFERROR(O16/L16,0)</x:f>
        <x:v>0</x:v>
      </x:c>
      <x:c r="S16" s="19" t="str"/>
    </x:row>
    <x:row r="17" ht="42" customHeight="1">
      <x:c r="A17" s="22"/>
      <x:c r="B17" s="19" t="n">
        <x:v>16</x:v>
      </x:c>
      <x:c r="C17" s="19" t="str">
        <x:v>pin-16-guest-ready-guide.png</x:v>
      </x:c>
      <x:c r="D17" s="19" t="str">
        <x:v>Turn property details into a guest-ready guide</x:v>
      </x:c>
      <x:c r="E17" s="19" t="str">
        <x:v>Formulario simple</x:v>
      </x:c>
      <x:c r="F17" s="19" t="str"/>
      <x:c r="G17" s="19" t="str">
        <x:v>https://yuyitov.github.io/MyGuest/?utm_source=pinterest&amp;utm_medium=organic&amp;utm_campaign=mvp_launch&amp;utm_content=guest_ready_guide_16</x:v>
      </x:c>
      <x:c r="H17" s="19" t="str">
        <x:v>Pendiente</x:v>
      </x:c>
      <x:c r="I17" s="24" t="n">
        <x:v>0</x:v>
      </x:c>
      <x:c r="J17" s="24" t="n">
        <x:v>0</x:v>
      </x:c>
      <x:c r="K17" s="24" t="n">
        <x:v>0</x:v>
      </x:c>
      <x:c r="L17" s="24" t="n">
        <x:v>0</x:v>
      </x:c>
      <x:c r="M17" s="24" t="n">
        <x:v>0</x:v>
      </x:c>
      <x:c r="N17" s="24" t="n">
        <x:v>0</x:v>
      </x:c>
      <x:c r="O17" s="24" t="n">
        <x:v>0</x:v>
      </x:c>
      <x:c r="P17" s="26" t="n">
        <x:f>IFERROR(K17/I17,0)</x:f>
        <x:v>0</x:v>
      </x:c>
      <x:c r="Q17" s="26" t="n">
        <x:f>IFERROR(N17/L17,0)</x:f>
        <x:v>0</x:v>
      </x:c>
      <x:c r="R17" s="26" t="n">
        <x:f>IFERROR(O17/L17,0)</x:f>
        <x:v>0</x:v>
      </x:c>
      <x:c r="S17" s="19" t="str"/>
    </x:row>
    <x:row r="18" ht="42" customHeight="1">
      <x:c r="A18" s="22"/>
      <x:c r="B18" s="19" t="n">
        <x:v>17</x:v>
      </x:c>
      <x:c r="C18" s="19" t="str">
        <x:v>pin-17-one-guest-guide-link.png</x:v>
      </x:c>
      <x:c r="D18" s="19" t="str">
        <x:v>One link for your Airbnb guest guide</x:v>
      </x:c>
      <x:c r="E18" s="19" t="str">
        <x:v>One link</x:v>
      </x:c>
      <x:c r="F18" s="19" t="str"/>
      <x:c r="G18" s="19" t="str">
        <x:v>https://yuyitov.github.io/MyGuest/?utm_source=pinterest&amp;utm_medium=organic&amp;utm_campaign=mvp_launch&amp;utm_content=one_guest_guide_link_17</x:v>
      </x:c>
      <x:c r="H18" s="19" t="str">
        <x:v>Pendiente</x:v>
      </x:c>
      <x:c r="I18" s="24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0</x:v>
      </x:c>
      <x:c r="P18" s="26" t="n">
        <x:f>IFERROR(K18/I18,0)</x:f>
        <x:v>0</x:v>
      </x:c>
      <x:c r="Q18" s="26" t="n">
        <x:f>IFERROR(N18/L18,0)</x:f>
        <x:v>0</x:v>
      </x:c>
      <x:c r="R18" s="26" t="n">
        <x:f>IFERROR(O18/L18,0)</x:f>
        <x:v>0</x:v>
      </x:c>
      <x:c r="S18" s="19" t="str"/>
    </x:row>
    <x:row r="19" ht="42" customHeight="1">
      <x:c r="A19" s="22"/>
      <x:c r="B19" s="19" t="n">
        <x:v>18</x:v>
      </x:c>
      <x:c r="C19" s="19" t="str">
        <x:v>pin-18-everything-in-one-place.png</x:v>
      </x:c>
      <x:c r="D19" s="19" t="str">
        <x:v>Everything guests need, in one place</x:v>
      </x:c>
      <x:c r="E19" s="19" t="str">
        <x:v>One link</x:v>
      </x:c>
      <x:c r="F19" s="19" t="str"/>
      <x:c r="G19" s="19" t="str">
        <x:v>https://yuyitov.github.io/MyGuest/?utm_source=pinterest&amp;utm_medium=organic&amp;utm_campaign=mvp_launch&amp;utm_content=everything_in_one_place_18</x:v>
      </x:c>
      <x:c r="H19" s="19" t="str">
        <x:v>Pendiente</x:v>
      </x:c>
      <x:c r="I19" s="24" t="n">
        <x:v>0</x:v>
      </x:c>
      <x:c r="J19" s="24" t="n">
        <x:v>0</x:v>
      </x:c>
      <x:c r="K19" s="24" t="n">
        <x:v>0</x:v>
      </x:c>
      <x:c r="L19" s="24" t="n">
        <x:v>0</x:v>
      </x:c>
      <x:c r="M19" s="24" t="n">
        <x:v>0</x:v>
      </x:c>
      <x:c r="N19" s="24" t="n">
        <x:v>0</x:v>
      </x:c>
      <x:c r="O19" s="24" t="n">
        <x:v>0</x:v>
      </x:c>
      <x:c r="P19" s="26" t="n">
        <x:f>IFERROR(K19/I19,0)</x:f>
        <x:v>0</x:v>
      </x:c>
      <x:c r="Q19" s="26" t="n">
        <x:f>IFERROR(N19/L19,0)</x:f>
        <x:v>0</x:v>
      </x:c>
      <x:c r="R19" s="26" t="n">
        <x:f>IFERROR(O19/L19,0)</x:f>
        <x:v>0</x:v>
      </x:c>
      <x:c r="S19" s="19" t="str"/>
    </x:row>
    <x:row r="20" ht="42" customHeight="1">
      <x:c r="A20" s="22"/>
      <x:c r="B20" s="19" t="n">
        <x:v>19</x:v>
      </x:c>
      <x:c r="C20" s="19" t="str">
        <x:v>pin-19-replace-long-messages.png</x:v>
      </x:c>
      <x:c r="D20" s="19" t="str">
        <x:v>Replace long guest messages with one clean guide</x:v>
      </x:c>
      <x:c r="E20" s="19" t="str">
        <x:v>Reducir preguntas repetidas</x:v>
      </x:c>
      <x:c r="F20" s="19" t="str"/>
      <x:c r="G20" s="19" t="str">
        <x:v>https://yuyitov.github.io/MyGuest/?utm_source=pinterest&amp;utm_medium=organic&amp;utm_campaign=mvp_launch&amp;utm_content=replace_long_messages_19</x:v>
      </x:c>
      <x:c r="H20" s="19" t="str">
        <x:v>Pendiente</x:v>
      </x:c>
      <x:c r="I20" s="24" t="n">
        <x:v>0</x:v>
      </x:c>
      <x:c r="J20" s="24" t="n">
        <x:v>0</x:v>
      </x:c>
      <x:c r="K20" s="24" t="n">
        <x:v>0</x:v>
      </x:c>
      <x:c r="L20" s="24" t="n">
        <x:v>0</x:v>
      </x:c>
      <x:c r="M20" s="24" t="n">
        <x:v>0</x:v>
      </x:c>
      <x:c r="N20" s="24" t="n">
        <x:v>0</x:v>
      </x:c>
      <x:c r="O20" s="24" t="n">
        <x:v>0</x:v>
      </x:c>
      <x:c r="P20" s="26" t="n">
        <x:f>IFERROR(K20/I20,0)</x:f>
        <x:v>0</x:v>
      </x:c>
      <x:c r="Q20" s="26" t="n">
        <x:f>IFERROR(N20/L20,0)</x:f>
        <x:v>0</x:v>
      </x:c>
      <x:c r="R20" s="26" t="n">
        <x:f>IFERROR(O20/L20,0)</x:f>
        <x:v>0</x:v>
      </x:c>
      <x:c r="S20" s="19" t="str"/>
    </x:row>
    <x:row r="21" ht="42" customHeight="1">
      <x:c r="A21" s="22"/>
      <x:c r="B21" s="19" t="n">
        <x:v>20</x:v>
      </x:c>
      <x:c r="C21" s="19" t="str">
        <x:v>pin-20-better-guest-experience.png</x:v>
      </x:c>
      <x:c r="D21" s="19" t="str">
        <x:v>A better guest experience starts with one link</x:v>
      </x:c>
      <x:c r="E21" s="19" t="str">
        <x:v>Mejorar experiencia</x:v>
      </x:c>
      <x:c r="F21" s="19" t="str"/>
      <x:c r="G21" s="19" t="str">
        <x:v>https://yuyitov.github.io/MyGuest/?utm_source=pinterest&amp;utm_medium=organic&amp;utm_campaign=mvp_launch&amp;utm_content=better_guest_experience_20</x:v>
      </x:c>
      <x:c r="H21" s="19" t="str">
        <x:v>Pendiente</x:v>
      </x:c>
      <x:c r="I21" s="24" t="n">
        <x:v>0</x:v>
      </x:c>
      <x:c r="J21" s="24" t="n">
        <x:v>0</x:v>
      </x:c>
      <x:c r="K21" s="24" t="n">
        <x:v>0</x:v>
      </x:c>
      <x:c r="L21" s="24" t="n">
        <x:v>0</x:v>
      </x:c>
      <x:c r="M21" s="24" t="n">
        <x:v>0</x:v>
      </x:c>
      <x:c r="N21" s="24" t="n">
        <x:v>0</x:v>
      </x:c>
      <x:c r="O21" s="24" t="n">
        <x:v>0</x:v>
      </x:c>
      <x:c r="P21" s="26" t="n">
        <x:f>IFERROR(K21/I21,0)</x:f>
        <x:v>0</x:v>
      </x:c>
      <x:c r="Q21" s="26" t="n">
        <x:f>IFERROR(N21/L21,0)</x:f>
        <x:v>0</x:v>
      </x:c>
      <x:c r="R21" s="26" t="n">
        <x:f>IFERROR(O21/L21,0)</x:f>
        <x:v>0</x:v>
      </x:c>
      <x:c r="S21" s="19" t="str"/>
    </x:row>
    <x:row r="22">
      <x:c r="H22" s="33" t="str">
        <x:v>TOTAL</x:v>
      </x:c>
      <x:c r="I22" s="33" t="n">
        <x:f>SUM(I2:I21)</x:f>
        <x:v>0</x:v>
      </x:c>
      <x:c r="J22" s="33" t="n">
        <x:f>SUM(J2:J21)</x:f>
        <x:v>0</x:v>
      </x:c>
      <x:c r="K22" s="33" t="n">
        <x:f>SUM(K2:K21)</x:f>
        <x:v>0</x:v>
      </x:c>
      <x:c r="L22" s="33" t="n">
        <x:f>SUM(L2:L21)</x:f>
        <x:v>0</x:v>
      </x:c>
      <x:c r="M22" s="33" t="n">
        <x:f>SUM(M2:M21)</x:f>
        <x:v>0</x:v>
      </x:c>
      <x:c r="N22" s="33" t="n">
        <x:f>SUM(N2:N21)</x:f>
        <x:v>0</x:v>
      </x:c>
      <x:c r="O22" s="33" t="n">
        <x:f>SUM(O2:O21)</x:f>
        <x:v>0</x:v>
      </x:c>
      <x:c r="P22" s="36" t="n">
        <x:f>IFERROR(K22/I22,0)</x:f>
        <x:v>0</x:v>
      </x:c>
      <x:c r="Q22" s="36" t="n">
        <x:f>IFERROR(N22/L22,0)</x:f>
        <x:v>0</x:v>
      </x:c>
      <x:c r="R22" s="36" t="n">
        <x:f>IFERROR(O22/L22,0)</x:f>
        <x:v>0</x:v>
      </x:c>
      <x:c r="S22" s="33" t="n">
        <x:v>0</x:v>
      </x:c>
      <x:c r="T22" t="n">
        <x:v>0</x:v>
      </x:c>
      <x:c r="U22" t="n">
        <x:v>0</x:v>
      </x:c>
      <x:c r="V22" t="str"/>
      <x:c r="W22" t="str"/>
      <x:c r="X22" t="str"/>
      <x:c r="Y22" t="str"/>
    </x:row>
  </x:sheetData>
  <x:conditionalFormatting sqref="H2:H21">
    <x:cfRule type="expression" dxfId="0" priority="1">
      <x:formula>H2="Publicado"</x:formula>
    </x:cfRule>
    <x:cfRule type="expression" dxfId="1" priority="2">
      <x:formula>H2="Ganador"</x:formula>
    </x:cfRule>
    <x:cfRule type="expression" dxfId="2" priority="3">
      <x:formula>H2="Revisar"</x:formula>
    </x:cfRule>
    <x:cfRule type="expression" dxfId="3" priority="4">
      <x:formula>H2="Descartar"</x:formula>
    </x:cfRule>
  </x:conditionalFormatting>
  <x:dataValidations count="1">
    <x:dataValidation type="list" sqref="H2:H21">
      <x:formula1>Config!$A$2:$A$7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0cadb5d9fe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4" max="4" width="22" hidden="0" customWidth="1"/>
    <x:col min="5" max="5" width="52" hidden="0" customWidth="1"/>
  </x:cols>
  <x:sheetData>
    <x:row r="1" ht="30" customHeight="1">
      <x:c r="A1" s="29" t="str">
        <x:v>MyGuest — Seguimiento Pinterest Lote 01</x:v>
      </x:c>
    </x:row>
    <x:row r="3">
      <x:c r="A3" s="42" t="str">
        <x:v>Métrica</x:v>
      </x:c>
      <x:c r="B3" s="42" t="str">
        <x:v>Total / Resultado</x:v>
      </x:c>
      <x:c r="C3" s="12"/>
      <x:c r="D3" s="42" t="str">
        <x:v>Regla comercial</x:v>
      </x:c>
      <x:c r="E3" s="42" t="str">
        <x:v>Valor</x:v>
      </x:c>
    </x:row>
    <x:row r="4">
      <x:c r="A4" s="12" t="str">
        <x:v>Pins publicados</x:v>
      </x:c>
      <x:c r="B4" s="12" t="n">
        <x:f>COUNTIF('Seguimiento Pinterest'!H2:H21,"Publicado")+COUNTIF('Seguimiento Pinterest'!H2:H21,"Ganador")</x:f>
        <x:v>0</x:v>
      </x:c>
      <x:c r="C4" s="12"/>
      <x:c r="D4" s="12" t="str">
        <x:v>Promesa permitida</x:v>
      </x:c>
      <x:c r="E4" s="12" t="str">
        <x:v>Fill out a simple form and get a beautiful mobile guest guide.</x:v>
      </x:c>
    </x:row>
    <x:row r="5">
      <x:c r="A5" s="12" t="str">
        <x:v>Impresiones</x:v>
      </x:c>
      <x:c r="B5" s="12" t="n">
        <x:f>'Seguimiento Pinterest'!I22</x:f>
        <x:v>0</x:v>
      </x:c>
      <x:c r="C5" s="12"/>
      <x:c r="D5" s="12" t="str">
        <x:v>No prometer</x:v>
      </x:c>
      <x:c r="E5" s="12" t="str">
        <x:v>IA documental / upload automático / extracción PDF-Canva-fotos / no form needed</x:v>
      </x:c>
    </x:row>
    <x:row r="6">
      <x:c r="A6" s="12" t="str">
        <x:v>Saves</x:v>
      </x:c>
      <x:c r="B6" s="12" t="n">
        <x:f>'Seguimiento Pinterest'!J22</x:f>
        <x:v>0</x:v>
      </x:c>
      <x:c r="C6" s="12"/>
      <x:c r="D6" s="12" t="str">
        <x:v>Canal inicial</x:v>
      </x:c>
      <x:c r="E6" s="12" t="str">
        <x:v>Pinterest orgánico/controlado</x:v>
      </x:c>
    </x:row>
    <x:row r="7">
      <x:c r="A7" s="12" t="str">
        <x:v>Outbound clicks</x:v>
      </x:c>
      <x:c r="B7" s="12" t="n">
        <x:f>'Seguimiento Pinterest'!K22</x:f>
        <x:v>0</x:v>
      </x:c>
      <x:c r="C7" s="12"/>
      <x:c r="D7" s="12" t="str">
        <x:v>Periodo de medición</x:v>
      </x:c>
      <x:c r="E7" s="12" t="str">
        <x:v>7–10 días</x:v>
      </x:c>
    </x:row>
    <x:row r="8">
      <x:c r="A8" s="12" t="str">
        <x:v>Visitas landing</x:v>
      </x:c>
      <x:c r="B8" s="12" t="n">
        <x:f>'Seguimiento Pinterest'!L22</x:f>
        <x:v>0</x:v>
      </x:c>
      <x:c r="C8" s="12"/>
      <x:c r="D8" s="12"/>
      <x:c r="E8" s="12"/>
    </x:row>
    <x:row r="9">
      <x:c r="A9" s="12" t="str">
        <x:v>Leads</x:v>
      </x:c>
      <x:c r="B9" s="12" t="n">
        <x:f>'Seguimiento Pinterest'!N22</x:f>
        <x:v>0</x:v>
      </x:c>
      <x:c r="C9" s="12"/>
      <x:c r="D9" s="12"/>
      <x:c r="E9" s="12"/>
    </x:row>
    <x:row r="10">
      <x:c r="A10" s="12" t="str">
        <x:v>Compras</x:v>
      </x:c>
      <x:c r="B10" s="12" t="n">
        <x:f>'Seguimiento Pinterest'!O22</x:f>
        <x:v>0</x:v>
      </x:c>
      <x:c r="C10" s="12"/>
      <x:c r="D10" s="12"/>
      <x:c r="E10" s="12"/>
    </x:row>
    <x:row r="12">
      <x:c r="A12" s="46" t="str">
        <x:v>Cómo usar esta tabla</x:v>
      </x:c>
      <x:c r="B12" s="12" t="str"/>
      <x:c r="C12" s="12" t="str"/>
      <x:c r="D12" s="12" t="str"/>
      <x:c r="E12" s="12" t="str"/>
    </x:row>
    <x:row r="13">
      <x:c r="A13" s="12" t="str">
        <x:v>1</x:v>
      </x:c>
      <x:c r="B13" s="12" t="str">
        <x:v>Publica el pin en Pinterest y pega la URL del pin en la columna F.</x:v>
      </x:c>
      <x:c r="C13" s="12" t="str"/>
      <x:c r="D13" s="12" t="str"/>
      <x:c r="E13" s="12" t="str"/>
    </x:row>
    <x:row r="14">
      <x:c r="A14" s="12" t="str">
        <x:v>2</x:v>
      </x:c>
      <x:c r="B14" s="12" t="str">
        <x:v>Cada 2–3 días captura impresiones, saves y outbound clicks desde Pinterest.</x:v>
      </x:c>
      <x:c r="C14" s="12" t="str"/>
      <x:c r="D14" s="12" t="str"/>
      <x:c r="E14" s="12" t="str"/>
    </x:row>
    <x:row r="15">
      <x:c r="A15" s="12" t="str">
        <x:v>3</x:v>
      </x:c>
      <x:c r="B15" s="12" t="str">
        <x:v>En la landing/analytics captura visitas, clics CTA, leads y compras.</x:v>
      </x:c>
      <x:c r="C15" s="12" t="str"/>
      <x:c r="D15" s="12" t="str"/>
      <x:c r="E15" s="12" t="str"/>
    </x:row>
    <x:row r="16">
      <x:c r="A16" s="12" t="str">
        <x:v>4</x:v>
      </x:c>
      <x:c r="B16" s="12" t="str">
        <x:v>Después de 7–10 días marca los mejores pins como Ganador.</x:v>
      </x:c>
      <x:c r="C16" s="12" t="str"/>
      <x:c r="D16" s="12" t="str"/>
      <x:c r="E16" s="12" t="str"/>
    </x:row>
    <x:row r="17">
      <x:c r="A17" s="12" t="str">
        <x:v>5</x:v>
      </x:c>
      <x:c r="B17" s="12" t="str">
        <x:v>No uses copy que prometa IA documental ni uploads automáticos.</x:v>
      </x:c>
      <x:c r="C17" s="12" t="str"/>
      <x:c r="D17" s="12" t="str"/>
      <x:c r="E17" s="12" t="str"/>
    </x:row>
    <x:row r="18">
      <x:c r="A18" s="12" t="str"/>
      <x:c r="B18" s="12" t="str"/>
      <x:c r="C18" s="12" t="str"/>
      <x:c r="D18" s="12" t="str"/>
      <x:c r="E18" s="12" t="str"/>
    </x:row>
  </x:sheetData>
  <x:mergeCells>
    <x:mergeCell ref="A1:H1"/>
    <x:mergeCell ref="A12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50" hidden="0" customWidth="1"/>
  </x:cols>
  <x:sheetData>
    <x:row r="1">
      <x:c r="A1" s="3" t="str">
        <x:v>Status</x:v>
      </x:c>
      <x:c r="C1" s="48" t="str">
        <x:v>No editar si no necesitas cambiar los estados del dropdown.</x:v>
      </x:c>
    </x:row>
    <x:row r="2">
      <x:c r="A2" t="str">
        <x:v>Pendiente</x:v>
      </x:c>
    </x:row>
    <x:row r="3">
      <x:c r="A3" t="str">
        <x:v>Publicado</x:v>
      </x:c>
    </x:row>
    <x:row r="4">
      <x:c r="A4" t="str">
        <x:v>Revisar</x:v>
      </x:c>
    </x:row>
    <x:row r="5">
      <x:c r="A5" t="str">
        <x:v>Pausado</x:v>
      </x:c>
    </x:row>
    <x:row r="6">
      <x:c r="A6" t="str">
        <x:v>Ganador</x:v>
      </x:c>
    </x:row>
    <x:row r="7">
      <x:c r="A7" t="str">
        <x:v>Descartar</x:v>
      </x:c>
    </x:row>
  </x:sheetData>
  <x:pageMargins left="0.7" right="0.7" top="0.75" bottom="0.75" header="0.3" footer="0.3"/>
</x:worksheet>
</file>